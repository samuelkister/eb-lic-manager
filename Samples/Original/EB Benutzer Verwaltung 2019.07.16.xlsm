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40" yWindow="60" windowWidth="23715" windowHeight="12840" activeTab="1"/>
  </bookViews>
  <sheets>
    <sheet name="Windows Benutzer" sheetId="1" r:id="rId1"/>
    <sheet name="EB Verwaltung" sheetId="2" r:id="rId2"/>
  </sheets>
  <functionGroups builtInGroupCount="17"/>
  <definedNames>
    <definedName name="_xlnm._FilterDatabase" localSheetId="1" hidden="1">'EB Verwaltung'!$A$4:$J$34</definedName>
  </definedNames>
  <calcPr calcId="145621"/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5" i="2"/>
  <c r="D33" i="2"/>
  <c r="D34" i="2"/>
  <c r="D24" i="2"/>
  <c r="D25" i="2"/>
  <c r="D11" i="2"/>
  <c r="D5" i="2"/>
  <c r="D18" i="2"/>
  <c r="D14" i="2"/>
  <c r="D32" i="2"/>
  <c r="D29" i="2"/>
  <c r="D20" i="2"/>
  <c r="D19" i="2"/>
  <c r="D26" i="2"/>
  <c r="D16" i="2"/>
  <c r="D9" i="2"/>
  <c r="D6" i="2"/>
  <c r="D15" i="2"/>
  <c r="D21" i="2"/>
  <c r="D28" i="2"/>
  <c r="D17" i="2"/>
  <c r="D22" i="2"/>
  <c r="D12" i="2"/>
  <c r="D10" i="2"/>
  <c r="D13" i="2"/>
  <c r="D7" i="2"/>
  <c r="D30" i="2"/>
  <c r="D8" i="2"/>
  <c r="D23" i="2"/>
  <c r="D27" i="2"/>
  <c r="D31" i="2"/>
  <c r="A1" i="2"/>
  <c r="B8" i="2" l="1"/>
  <c r="A37" i="1"/>
  <c r="A38" i="1"/>
  <c r="A39" i="1"/>
  <c r="A40" i="1"/>
  <c r="A41" i="1"/>
  <c r="A42" i="1"/>
  <c r="A43" i="1"/>
  <c r="A44" i="1"/>
  <c r="A45" i="1"/>
  <c r="A46" i="1"/>
  <c r="A47" i="1"/>
  <c r="B26" i="2" l="1"/>
  <c r="B9" i="2"/>
  <c r="B20" i="2"/>
  <c r="B19" i="2"/>
  <c r="B33" i="2"/>
  <c r="B34" i="2"/>
  <c r="B6" i="2"/>
  <c r="B7" i="2"/>
  <c r="B10" i="2"/>
  <c r="B11" i="2"/>
  <c r="B12" i="2"/>
  <c r="B13" i="2"/>
  <c r="B14" i="2"/>
  <c r="B15" i="2"/>
  <c r="B16" i="2"/>
  <c r="B17" i="2"/>
  <c r="B18" i="2"/>
  <c r="B22" i="2"/>
  <c r="B23" i="2"/>
  <c r="B24" i="2"/>
  <c r="B21" i="2"/>
  <c r="B25" i="2"/>
  <c r="B27" i="2"/>
  <c r="B28" i="2"/>
  <c r="B29" i="2"/>
  <c r="B30" i="2"/>
  <c r="B31" i="2"/>
  <c r="B32" i="2"/>
  <c r="B5" i="2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4" i="1"/>
</calcChain>
</file>

<file path=xl/sharedStrings.xml><?xml version="1.0" encoding="utf-8"?>
<sst xmlns="http://schemas.openxmlformats.org/spreadsheetml/2006/main" count="143" uniqueCount="86">
  <si>
    <t>Name</t>
  </si>
  <si>
    <t>Full Name</t>
  </si>
  <si>
    <t>Description</t>
  </si>
  <si>
    <t>Admin</t>
  </si>
  <si>
    <t>Administrator Client</t>
  </si>
  <si>
    <t>Administrator</t>
  </si>
  <si>
    <t>Built-in account for administering the computer/domain</t>
  </si>
  <si>
    <t>AUTOMATIKER</t>
  </si>
  <si>
    <t>Automatiker Lehrlinge</t>
  </si>
  <si>
    <t>BOC</t>
  </si>
  <si>
    <t>Bossart C.</t>
  </si>
  <si>
    <t>BRD</t>
  </si>
  <si>
    <t>Brunner D.</t>
  </si>
  <si>
    <t>ENP</t>
  </si>
  <si>
    <t>Engel Ph.</t>
  </si>
  <si>
    <t>FIS</t>
  </si>
  <si>
    <t>Fisch C.</t>
  </si>
  <si>
    <t>GBucher</t>
  </si>
  <si>
    <t>Bucher Gre</t>
  </si>
  <si>
    <t>Extern ROTRING</t>
  </si>
  <si>
    <t>GRN</t>
  </si>
  <si>
    <t>Gröber R.</t>
  </si>
  <si>
    <t>Guest</t>
  </si>
  <si>
    <t>Built-in account for guest access to the computer/domain</t>
  </si>
  <si>
    <t>HEK</t>
  </si>
  <si>
    <t>Hell K</t>
  </si>
  <si>
    <t>HIN</t>
  </si>
  <si>
    <t>Hirzel N.</t>
  </si>
  <si>
    <t>INN</t>
  </si>
  <si>
    <t>KAY</t>
  </si>
  <si>
    <t>Kayser B.</t>
  </si>
  <si>
    <t>KSA</t>
  </si>
  <si>
    <t>Imboden Pirmin</t>
  </si>
  <si>
    <t>RIS</t>
  </si>
  <si>
    <t>Riccelli S.</t>
  </si>
  <si>
    <t>SBE</t>
  </si>
  <si>
    <t>Schär B.</t>
  </si>
  <si>
    <t>SCH</t>
  </si>
  <si>
    <t>Schuermann M</t>
  </si>
  <si>
    <t>SSchmutz</t>
  </si>
  <si>
    <t>VAZ</t>
  </si>
  <si>
    <t>Valentin Z.</t>
  </si>
  <si>
    <t>VOU</t>
  </si>
  <si>
    <t>WAC</t>
  </si>
  <si>
    <t>Im Server Manager die benutzer in CSV exportieren.
Datei Inhalt In die Zelle B3 einfügen. Spalte B anwählen und mit "Daten"-&gt;"Text in Spalte", Trennung Komma, diese erweitern.</t>
  </si>
  <si>
    <t>Nicht in aktuelle Liste</t>
  </si>
  <si>
    <t>Kürzel</t>
  </si>
  <si>
    <t xml:space="preserve">KeineBerechtigungen </t>
  </si>
  <si>
    <t>Konserven</t>
  </si>
  <si>
    <t>Zentrifugen_Voll</t>
  </si>
  <si>
    <t>Gruppen</t>
  </si>
  <si>
    <t>x</t>
  </si>
  <si>
    <t>Zentrifugen</t>
  </si>
  <si>
    <t>RPaolozzi</t>
  </si>
  <si>
    <t>René Paolozzi</t>
  </si>
  <si>
    <t>*+-
*+-</t>
  </si>
  <si>
    <t>Gruppen Kommentar :
(*+- wird ignoriert. Kann deshalb benutzt werden um Zeilenumbruch "sichtbar" zu machen)</t>
  </si>
  <si>
    <t>IMP</t>
  </si>
  <si>
    <t>BAR</t>
  </si>
  <si>
    <t>BAK Rafal</t>
  </si>
  <si>
    <t>S - Projekte - 100 Bl</t>
  </si>
  <si>
    <t>BAU</t>
  </si>
  <si>
    <t>BAUMBERGER Peter</t>
  </si>
  <si>
    <t>S - Control Systems - Voll Lizenz</t>
  </si>
  <si>
    <t>Schmutz Sandro</t>
  </si>
  <si>
    <t>HSA</t>
  </si>
  <si>
    <t>Hediger Sandro</t>
  </si>
  <si>
    <t>C - FerruSwitch - SwitchLizenz</t>
  </si>
  <si>
    <t>Kister Samuel</t>
  </si>
  <si>
    <t>C - Customizing</t>
  </si>
  <si>
    <t>HIS</t>
  </si>
  <si>
    <t>Hirt Simon</t>
  </si>
  <si>
    <t>ferruSwitch</t>
  </si>
  <si>
    <t>Zentrifugen_PL</t>
  </si>
  <si>
    <t>Zentrifugen_Externe</t>
  </si>
  <si>
    <t xml:space="preserve">*+-
# !!! GROUP Zentrifugen besteht aus Zentrifugen_Voll + Zentrifugen_PL + Zentrifugen_Externe
</t>
  </si>
  <si>
    <t>Ingold Nadia</t>
  </si>
  <si>
    <t>C - E-Montage</t>
  </si>
  <si>
    <t>Notfall</t>
  </si>
  <si>
    <t>Rotring Remote</t>
  </si>
  <si>
    <t>Vogel Urs</t>
  </si>
  <si>
    <t>C- Customizing</t>
  </si>
  <si>
    <t>Wassmer Christian</t>
  </si>
  <si>
    <t>WLB</t>
  </si>
  <si>
    <t>S - Control Systems - 100 Bl</t>
  </si>
  <si>
    <t>Wlasak Bertram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</si>
</sst>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vertical="top" wrapText="1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1" xfId="0" applyFill="1" applyBorder="1"/>
    <xf numFmtId="0" fontId="0" fillId="4" borderId="1" xfId="0" applyFill="1" applyBorder="1"/>
    <xf numFmtId="0" fontId="0" fillId="0" borderId="1" xfId="0" applyBorder="1"/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top" wrapText="1"/>
    </xf>
    <xf numFmtId="0" fontId="1" fillId="5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Kopieren in Zwischenspeicher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47"/>
  <sheetViews>
    <sheetView topLeftCell="A7" workbookViewId="0">
      <selection activeCell="C24" sqref="C24"/>
    </sheetView>
  </sheetViews>
  <sheetFormatPr baseColWidth="10" defaultRowHeight="15" x14ac:dyDescent="0.25"/>
  <cols>
    <col min="1" max="1" width="20.28515625" bestFit="1" customWidth="1"/>
    <col min="2" max="2" width="13.85546875" bestFit="1" customWidth="1"/>
    <col min="3" max="3" width="21" bestFit="1" customWidth="1"/>
    <col min="4" max="4" width="52.5703125" bestFit="1" customWidth="1"/>
  </cols>
  <sheetData>
    <row r="1" spans="1:6" ht="53.25" customHeight="1" x14ac:dyDescent="0.25">
      <c r="A1" s="16" t="s">
        <v>44</v>
      </c>
      <c r="B1" s="16"/>
      <c r="C1" s="16"/>
      <c r="D1" s="16"/>
      <c r="E1" s="16"/>
      <c r="F1" s="16"/>
    </row>
    <row r="3" spans="1:6" x14ac:dyDescent="0.25">
      <c r="A3" t="s">
        <v>45</v>
      </c>
      <c r="B3" s="3" t="s">
        <v>0</v>
      </c>
      <c r="C3" s="3" t="s">
        <v>1</v>
      </c>
      <c r="D3" s="3" t="s">
        <v>2</v>
      </c>
    </row>
    <row r="4" spans="1:6" x14ac:dyDescent="0.25">
      <c r="A4" t="str">
        <f>IF(ISNA(VLOOKUP(B4,'EB Verwaltung'!A$5:A$992,1,FALSE)),"X","")</f>
        <v/>
      </c>
      <c r="B4" s="3" t="s">
        <v>3</v>
      </c>
      <c r="C4" s="3" t="s">
        <v>4</v>
      </c>
      <c r="D4" s="3"/>
    </row>
    <row r="5" spans="1:6" x14ac:dyDescent="0.25">
      <c r="A5" t="str">
        <f>IF(ISNA(VLOOKUP(B5,'EB Verwaltung'!A$5:A$992,1,FALSE)),"X","")</f>
        <v/>
      </c>
      <c r="B5" s="3" t="s">
        <v>5</v>
      </c>
      <c r="C5" s="3"/>
      <c r="D5" s="3" t="s">
        <v>6</v>
      </c>
    </row>
    <row r="6" spans="1:6" x14ac:dyDescent="0.25">
      <c r="A6" t="str">
        <f>IF(ISNA(VLOOKUP(B6,'EB Verwaltung'!A$5:A$992,1,FALSE)),"X","")</f>
        <v/>
      </c>
      <c r="B6" s="3" t="s">
        <v>7</v>
      </c>
      <c r="C6" s="3" t="s">
        <v>8</v>
      </c>
      <c r="D6" s="3"/>
    </row>
    <row r="7" spans="1:6" x14ac:dyDescent="0.25">
      <c r="A7" t="str">
        <f>IF(ISNA(VLOOKUP(B7,'EB Verwaltung'!A$5:A$992,1,FALSE)),"X","")</f>
        <v/>
      </c>
      <c r="B7" s="3" t="s">
        <v>58</v>
      </c>
      <c r="C7" s="3" t="s">
        <v>59</v>
      </c>
      <c r="D7" s="3" t="s">
        <v>60</v>
      </c>
    </row>
    <row r="8" spans="1:6" x14ac:dyDescent="0.25">
      <c r="A8" t="str">
        <f>IF(ISNA(VLOOKUP(B8,'EB Verwaltung'!A$5:A$992,1,FALSE)),"X","")</f>
        <v/>
      </c>
      <c r="B8" s="3" t="s">
        <v>61</v>
      </c>
      <c r="C8" s="3" t="s">
        <v>62</v>
      </c>
      <c r="D8" s="3" t="s">
        <v>63</v>
      </c>
    </row>
    <row r="9" spans="1:6" x14ac:dyDescent="0.25">
      <c r="A9" t="str">
        <f>IF(ISNA(VLOOKUP(B9,'EB Verwaltung'!A$5:A$992,1,FALSE)),"X","")</f>
        <v/>
      </c>
      <c r="B9" s="3" t="s">
        <v>9</v>
      </c>
      <c r="C9" s="3" t="s">
        <v>10</v>
      </c>
      <c r="D9" s="3"/>
    </row>
    <row r="10" spans="1:6" x14ac:dyDescent="0.25">
      <c r="A10" t="str">
        <f>IF(ISNA(VLOOKUP(B10,'EB Verwaltung'!A$5:A$992,1,FALSE)),"X","")</f>
        <v/>
      </c>
      <c r="B10" s="3" t="s">
        <v>11</v>
      </c>
      <c r="C10" s="3" t="s">
        <v>12</v>
      </c>
      <c r="D10" s="3"/>
    </row>
    <row r="11" spans="1:6" x14ac:dyDescent="0.25">
      <c r="A11" t="str">
        <f>IF(ISNA(VLOOKUP(B11,'EB Verwaltung'!A$5:A$992,1,FALSE)),"X","")</f>
        <v/>
      </c>
      <c r="B11" s="3" t="s">
        <v>13</v>
      </c>
      <c r="C11" s="3" t="s">
        <v>14</v>
      </c>
      <c r="D11" s="3"/>
    </row>
    <row r="12" spans="1:6" x14ac:dyDescent="0.25">
      <c r="A12" t="str">
        <f>IF(ISNA(VLOOKUP(B12,'EB Verwaltung'!A$5:A$992,1,FALSE)),"X","")</f>
        <v/>
      </c>
      <c r="B12" s="3" t="s">
        <v>15</v>
      </c>
      <c r="C12" s="3" t="s">
        <v>16</v>
      </c>
      <c r="D12" s="3"/>
    </row>
    <row r="13" spans="1:6" x14ac:dyDescent="0.25">
      <c r="A13" t="str">
        <f>IF(ISNA(VLOOKUP(B13,'EB Verwaltung'!A$5:A$992,1,FALSE)),"X","")</f>
        <v/>
      </c>
      <c r="B13" s="3" t="s">
        <v>17</v>
      </c>
      <c r="C13" s="3" t="s">
        <v>18</v>
      </c>
      <c r="D13" s="3" t="s">
        <v>19</v>
      </c>
    </row>
    <row r="14" spans="1:6" x14ac:dyDescent="0.25">
      <c r="A14" t="str">
        <f>IF(ISNA(VLOOKUP(B14,'EB Verwaltung'!A$5:A$992,1,FALSE)),"X","")</f>
        <v/>
      </c>
      <c r="B14" s="3" t="s">
        <v>20</v>
      </c>
      <c r="C14" s="3" t="s">
        <v>21</v>
      </c>
      <c r="D14" s="3"/>
    </row>
    <row r="15" spans="1:6" x14ac:dyDescent="0.25">
      <c r="A15" t="str">
        <f>IF(ISNA(VLOOKUP(B15,'EB Verwaltung'!A$5:A$992,1,FALSE)),"X","")</f>
        <v/>
      </c>
      <c r="B15" s="3" t="s">
        <v>22</v>
      </c>
      <c r="C15" s="3"/>
      <c r="D15" s="3" t="s">
        <v>23</v>
      </c>
    </row>
    <row r="16" spans="1:6" x14ac:dyDescent="0.25">
      <c r="A16" t="str">
        <f>IF(ISNA(VLOOKUP(B16,'EB Verwaltung'!A$5:A$992,1,FALSE)),"X","")</f>
        <v/>
      </c>
      <c r="B16" s="3" t="s">
        <v>24</v>
      </c>
      <c r="C16" s="3" t="s">
        <v>25</v>
      </c>
      <c r="D16" s="3"/>
    </row>
    <row r="17" spans="1:4" x14ac:dyDescent="0.25">
      <c r="A17" t="str">
        <f>IF(ISNA(VLOOKUP(B17,'EB Verwaltung'!A$5:A$992,1,FALSE)),"X","")</f>
        <v/>
      </c>
      <c r="B17" s="3" t="s">
        <v>26</v>
      </c>
      <c r="C17" s="3" t="s">
        <v>27</v>
      </c>
      <c r="D17" s="3"/>
    </row>
    <row r="18" spans="1:4" x14ac:dyDescent="0.25">
      <c r="A18" t="str">
        <f>IF(ISNA(VLOOKUP(B18,'EB Verwaltung'!A$5:A$992,1,FALSE)),"X","")</f>
        <v/>
      </c>
      <c r="B18" s="3" t="s">
        <v>70</v>
      </c>
      <c r="C18" s="3" t="s">
        <v>71</v>
      </c>
      <c r="D18" s="3" t="s">
        <v>69</v>
      </c>
    </row>
    <row r="19" spans="1:4" x14ac:dyDescent="0.25">
      <c r="A19" t="str">
        <f>IF(ISNA(VLOOKUP(B19,'EB Verwaltung'!A$5:A$992,1,FALSE)),"X","")</f>
        <v/>
      </c>
      <c r="B19" s="3" t="s">
        <v>65</v>
      </c>
      <c r="C19" s="3" t="s">
        <v>66</v>
      </c>
      <c r="D19" s="3" t="s">
        <v>67</v>
      </c>
    </row>
    <row r="20" spans="1:4" x14ac:dyDescent="0.25">
      <c r="A20" t="str">
        <f>IF(ISNA(VLOOKUP(B20,'EB Verwaltung'!A$5:A$992,1,FALSE)),"X","")</f>
        <v/>
      </c>
      <c r="B20" s="3" t="s">
        <v>57</v>
      </c>
      <c r="C20" s="3" t="s">
        <v>32</v>
      </c>
      <c r="D20" s="3"/>
    </row>
    <row r="21" spans="1:4" x14ac:dyDescent="0.25">
      <c r="A21" t="str">
        <f>IF(ISNA(VLOOKUP(B21,'EB Verwaltung'!A$5:A$992,1,FALSE)),"X","")</f>
        <v/>
      </c>
      <c r="B21" s="3" t="s">
        <v>28</v>
      </c>
      <c r="C21" s="3" t="s">
        <v>76</v>
      </c>
      <c r="D21" s="3" t="s">
        <v>69</v>
      </c>
    </row>
    <row r="22" spans="1:4" x14ac:dyDescent="0.25">
      <c r="A22" t="str">
        <f>IF(ISNA(VLOOKUP(B22,'EB Verwaltung'!A$5:A$992,1,FALSE)),"X","")</f>
        <v/>
      </c>
      <c r="B22" s="3" t="s">
        <v>29</v>
      </c>
      <c r="C22" s="3" t="s">
        <v>30</v>
      </c>
      <c r="D22" s="3" t="s">
        <v>77</v>
      </c>
    </row>
    <row r="23" spans="1:4" x14ac:dyDescent="0.25">
      <c r="A23" t="str">
        <f>IF(ISNA(VLOOKUP(B23,'EB Verwaltung'!A$5:A$992,1,FALSE)),"X","")</f>
        <v/>
      </c>
      <c r="B23" s="3" t="s">
        <v>31</v>
      </c>
      <c r="C23" s="3" t="s">
        <v>68</v>
      </c>
      <c r="D23" s="3" t="s">
        <v>69</v>
      </c>
    </row>
    <row r="24" spans="1:4" x14ac:dyDescent="0.25">
      <c r="A24" t="str">
        <f>IF(ISNA(VLOOKUP(B24,'EB Verwaltung'!A$5:A$992,1,FALSE)),"X","")</f>
        <v>X</v>
      </c>
      <c r="B24" s="3" t="s">
        <v>78</v>
      </c>
      <c r="C24" s="3" t="s">
        <v>79</v>
      </c>
      <c r="D24" s="3"/>
    </row>
    <row r="25" spans="1:4" x14ac:dyDescent="0.25">
      <c r="A25" t="str">
        <f>IF(ISNA(VLOOKUP(B25,'EB Verwaltung'!A$5:A$992,1,FALSE)),"X","")</f>
        <v/>
      </c>
      <c r="B25" s="3" t="s">
        <v>33</v>
      </c>
      <c r="C25" s="3" t="s">
        <v>34</v>
      </c>
      <c r="D25" s="3"/>
    </row>
    <row r="26" spans="1:4" x14ac:dyDescent="0.25">
      <c r="A26" t="str">
        <f>IF(ISNA(VLOOKUP(B26,'EB Verwaltung'!A$5:A$992,1,FALSE)),"X","")</f>
        <v/>
      </c>
      <c r="B26" s="3" t="s">
        <v>53</v>
      </c>
      <c r="C26" s="3" t="s">
        <v>54</v>
      </c>
      <c r="D26" s="3"/>
    </row>
    <row r="27" spans="1:4" x14ac:dyDescent="0.25">
      <c r="A27" t="str">
        <f>IF(ISNA(VLOOKUP(B27,'EB Verwaltung'!A$5:A$992,1,FALSE)),"X","")</f>
        <v/>
      </c>
      <c r="B27" s="3" t="s">
        <v>35</v>
      </c>
      <c r="C27" s="3" t="s">
        <v>36</v>
      </c>
      <c r="D27" s="3"/>
    </row>
    <row r="28" spans="1:4" x14ac:dyDescent="0.25">
      <c r="A28" t="str">
        <f>IF(ISNA(VLOOKUP(B28,'EB Verwaltung'!A$5:A$992,1,FALSE)),"X","")</f>
        <v/>
      </c>
      <c r="B28" s="3" t="s">
        <v>37</v>
      </c>
      <c r="C28" s="3" t="s">
        <v>38</v>
      </c>
      <c r="D28" s="3"/>
    </row>
    <row r="29" spans="1:4" x14ac:dyDescent="0.25">
      <c r="A29" t="str">
        <f>IF(ISNA(VLOOKUP(B29,'EB Verwaltung'!A$5:A$992,1,FALSE)),"X","")</f>
        <v/>
      </c>
      <c r="B29" s="3" t="s">
        <v>39</v>
      </c>
      <c r="C29" s="3" t="s">
        <v>64</v>
      </c>
      <c r="D29" s="3" t="s">
        <v>63</v>
      </c>
    </row>
    <row r="30" spans="1:4" x14ac:dyDescent="0.25">
      <c r="A30" t="str">
        <f>IF(ISNA(VLOOKUP(B30,'EB Verwaltung'!A$5:A$992,1,FALSE)),"X","")</f>
        <v/>
      </c>
      <c r="B30" s="3" t="s">
        <v>40</v>
      </c>
      <c r="C30" s="3" t="s">
        <v>41</v>
      </c>
      <c r="D30" s="3"/>
    </row>
    <row r="31" spans="1:4" x14ac:dyDescent="0.25">
      <c r="A31" t="str">
        <f>IF(ISNA(VLOOKUP(B31,'EB Verwaltung'!A$5:A$992,1,FALSE)),"X","")</f>
        <v/>
      </c>
      <c r="B31" s="3" t="s">
        <v>42</v>
      </c>
      <c r="C31" s="3" t="s">
        <v>80</v>
      </c>
      <c r="D31" s="3" t="s">
        <v>81</v>
      </c>
    </row>
    <row r="32" spans="1:4" x14ac:dyDescent="0.25">
      <c r="A32" t="str">
        <f>IF(ISNA(VLOOKUP(B32,'EB Verwaltung'!A$5:A$992,1,FALSE)),"X","")</f>
        <v/>
      </c>
      <c r="B32" s="3" t="s">
        <v>43</v>
      </c>
      <c r="C32" s="3" t="s">
        <v>82</v>
      </c>
      <c r="D32" s="3" t="s">
        <v>69</v>
      </c>
    </row>
    <row r="33" spans="1:4" x14ac:dyDescent="0.25">
      <c r="A33" t="str">
        <f>IF(ISNA(VLOOKUP(B33,'EB Verwaltung'!A$5:A$992,1,FALSE)),"X","")</f>
        <v/>
      </c>
      <c r="B33" s="3" t="s">
        <v>83</v>
      </c>
      <c r="C33" s="3" t="s">
        <v>85</v>
      </c>
      <c r="D33" s="3" t="s">
        <v>84</v>
      </c>
    </row>
    <row r="34" spans="1:4" x14ac:dyDescent="0.25">
      <c r="A34" t="str">
        <f>IF(ISNA(VLOOKUP(B34,'EB Verwaltung'!A$5:A$992,1,FALSE)),"X","")</f>
        <v>X</v>
      </c>
      <c r="B34" s="3"/>
      <c r="C34" s="3"/>
      <c r="D34" s="3"/>
    </row>
    <row r="35" spans="1:4" x14ac:dyDescent="0.25">
      <c r="A35" t="str">
        <f>IF(ISNA(VLOOKUP(B35,'EB Verwaltung'!A$5:A$992,1,FALSE)),"X","")</f>
        <v>X</v>
      </c>
      <c r="B35" s="3"/>
      <c r="C35" s="3"/>
      <c r="D35" s="3"/>
    </row>
    <row r="36" spans="1:4" x14ac:dyDescent="0.25">
      <c r="A36" t="str">
        <f>IF(ISNA(VLOOKUP(B36,'EB Verwaltung'!A$5:A$992,1,FALSE)),"X","")</f>
        <v>X</v>
      </c>
      <c r="B36" s="3"/>
      <c r="C36" s="3"/>
      <c r="D36" s="3"/>
    </row>
    <row r="37" spans="1:4" x14ac:dyDescent="0.25">
      <c r="A37" t="str">
        <f>IF(ISNA(VLOOKUP(B37,'EB Verwaltung'!A$5:A$992,1,FALSE)),"X","")</f>
        <v>X</v>
      </c>
      <c r="B37" s="3"/>
      <c r="C37" s="3"/>
      <c r="D37" s="3"/>
    </row>
    <row r="38" spans="1:4" x14ac:dyDescent="0.25">
      <c r="A38" t="str">
        <f>IF(ISNA(VLOOKUP(B38,'EB Verwaltung'!A$5:A$992,1,FALSE)),"X","")</f>
        <v>X</v>
      </c>
      <c r="B38" s="3"/>
      <c r="C38" s="3"/>
      <c r="D38" s="3"/>
    </row>
    <row r="39" spans="1:4" x14ac:dyDescent="0.25">
      <c r="A39" t="str">
        <f>IF(ISNA(VLOOKUP(B39,'EB Verwaltung'!A$5:A$992,1,FALSE)),"X","")</f>
        <v>X</v>
      </c>
    </row>
    <row r="40" spans="1:4" x14ac:dyDescent="0.25">
      <c r="A40" t="str">
        <f>IF(ISNA(VLOOKUP(B40,'EB Verwaltung'!A$5:A$992,1,FALSE)),"X","")</f>
        <v>X</v>
      </c>
    </row>
    <row r="41" spans="1:4" x14ac:dyDescent="0.25">
      <c r="A41" t="str">
        <f>IF(ISNA(VLOOKUP(B41,'EB Verwaltung'!A$5:A$992,1,FALSE)),"X","")</f>
        <v>X</v>
      </c>
    </row>
    <row r="42" spans="1:4" x14ac:dyDescent="0.25">
      <c r="A42" t="str">
        <f>IF(ISNA(VLOOKUP(B42,'EB Verwaltung'!A$5:A$992,1,FALSE)),"X","")</f>
        <v>X</v>
      </c>
    </row>
    <row r="43" spans="1:4" x14ac:dyDescent="0.25">
      <c r="A43" t="str">
        <f>IF(ISNA(VLOOKUP(B43,'EB Verwaltung'!A$5:A$992,1,FALSE)),"X","")</f>
        <v>X</v>
      </c>
    </row>
    <row r="44" spans="1:4" x14ac:dyDescent="0.25">
      <c r="A44" t="str">
        <f>IF(ISNA(VLOOKUP(B44,'EB Verwaltung'!A$5:A$992,1,FALSE)),"X","")</f>
        <v>X</v>
      </c>
    </row>
    <row r="45" spans="1:4" x14ac:dyDescent="0.25">
      <c r="A45" t="str">
        <f>IF(ISNA(VLOOKUP(B45,'EB Verwaltung'!A$5:A$992,1,FALSE)),"X","")</f>
        <v>X</v>
      </c>
    </row>
    <row r="46" spans="1:4" x14ac:dyDescent="0.25">
      <c r="A46" t="str">
        <f>IF(ISNA(VLOOKUP(B46,'EB Verwaltung'!A$5:A$992,1,FALSE)),"X","")</f>
        <v>X</v>
      </c>
    </row>
    <row r="47" spans="1:4" x14ac:dyDescent="0.25">
      <c r="A47" t="str">
        <f>IF(ISNA(VLOOKUP(B47,'EB Verwaltung'!A$5:A$992,1,FALSE)),"X","")</f>
        <v>X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S34"/>
  <sheetViews>
    <sheetView tabSelected="1" zoomScaleNormal="100" workbookViewId="0">
      <pane ySplit="4" topLeftCell="A5" activePane="bottomLeft" state="frozenSplit"/>
      <selection pane="bottomLeft" sqref="A1:H1"/>
    </sheetView>
  </sheetViews>
  <sheetFormatPr baseColWidth="10" defaultRowHeight="15" x14ac:dyDescent="0.25"/>
  <cols>
    <col min="1" max="1" width="13.85546875" bestFit="1" customWidth="1"/>
    <col min="2" max="2" width="21" bestFit="1" customWidth="1"/>
    <col min="3" max="3" width="0.85546875" customWidth="1"/>
    <col min="4" max="4" width="25.28515625" style="1" bestFit="1" customWidth="1"/>
    <col min="5" max="5" width="15" style="1" bestFit="1" customWidth="1"/>
    <col min="6" max="6" width="16" style="1" bestFit="1" customWidth="1"/>
    <col min="7" max="7" width="20.7109375" style="1" bestFit="1" customWidth="1"/>
    <col min="8" max="8" width="27.42578125" style="1" bestFit="1" customWidth="1"/>
    <col min="9" max="9" width="27.42578125" style="10" customWidth="1"/>
    <col min="12" max="12" width="152.28515625" customWidth="1"/>
  </cols>
  <sheetData>
    <row r="1" spans="1:19" ht="172.5" customHeight="1" x14ac:dyDescent="0.25">
      <c r="A1" s="17" t="str">
        <f>GruppenZusammenfassung2(5:34,A4,D4:J4)</f>
        <v xml:space="preserve">GROUP KeineBerechtigungen Admin Administrator FIS GBucher Guest HIN RIS _x000D_
GROUP Konserven           AUTOMATIKER ENP HEK HIS INN KAY KSA SBE SCH VOU WAC_x000D_
# !!! GROUP Zentrifugen besteht aus Zentrifugen_Voll + Zentrifugen_PL + Zentrifugen_Externe
GROUP Zentrifugen         BAR BAU BOC BRD GRN IMP RPaolozzi SSchmutz VAZ WLB_x000D_
GROUP Zentrifugen_Voll    BAU_x000D_
GROUP Zentrifugen_PL      BAR BOC IMP VAZ_x000D_
GROUP Zentrifugen_Externe BRD GRN RPaolozzi SSchmutz WLB_x000D_
GROUP ferruSwitch         HSA_x000D_
</v>
      </c>
      <c r="B1" s="17"/>
      <c r="C1" s="17"/>
      <c r="D1" s="17"/>
      <c r="E1" s="17"/>
      <c r="F1" s="17"/>
      <c r="G1" s="17"/>
      <c r="H1" s="17"/>
      <c r="I1" s="9"/>
      <c r="L1" s="7"/>
      <c r="M1" s="6"/>
      <c r="N1" s="6"/>
      <c r="O1" s="6"/>
      <c r="P1" s="6"/>
      <c r="Q1" s="6"/>
      <c r="R1" s="6"/>
      <c r="S1" s="6"/>
    </row>
    <row r="2" spans="1:19" x14ac:dyDescent="0.25">
      <c r="D2" s="20" t="s">
        <v>50</v>
      </c>
      <c r="E2" s="20"/>
      <c r="F2" s="20"/>
      <c r="G2" s="20"/>
      <c r="H2" s="20"/>
      <c r="I2" s="20"/>
      <c r="J2" s="20"/>
    </row>
    <row r="3" spans="1:19" ht="147" customHeight="1" x14ac:dyDescent="0.25">
      <c r="A3" s="18" t="s">
        <v>56</v>
      </c>
      <c r="B3" s="19"/>
      <c r="D3" s="4"/>
      <c r="E3" s="5" t="s">
        <v>55</v>
      </c>
      <c r="F3" s="5" t="s">
        <v>75</v>
      </c>
      <c r="G3" s="5" t="s">
        <v>55</v>
      </c>
      <c r="H3" s="5"/>
      <c r="I3" s="5"/>
      <c r="J3" s="5" t="s">
        <v>55</v>
      </c>
    </row>
    <row r="4" spans="1:19" x14ac:dyDescent="0.25">
      <c r="A4" t="s">
        <v>46</v>
      </c>
      <c r="B4" t="s">
        <v>0</v>
      </c>
      <c r="D4" s="1" t="s">
        <v>47</v>
      </c>
      <c r="E4" s="1" t="s">
        <v>48</v>
      </c>
      <c r="F4" s="2" t="s">
        <v>52</v>
      </c>
      <c r="G4" s="1" t="s">
        <v>49</v>
      </c>
      <c r="H4" s="1" t="s">
        <v>73</v>
      </c>
      <c r="I4" s="10" t="s">
        <v>74</v>
      </c>
      <c r="J4" s="8" t="s">
        <v>72</v>
      </c>
    </row>
    <row r="5" spans="1:19" x14ac:dyDescent="0.25">
      <c r="A5" s="11" t="s">
        <v>3</v>
      </c>
      <c r="B5" s="12" t="str">
        <f>VLOOKUP(A5,'Windows Benutzer'!B$4:C$1000,2,FALSE)</f>
        <v>Administrator Client</v>
      </c>
      <c r="C5" s="13"/>
      <c r="D5" s="14" t="str">
        <f>IF(keineBerechtigung(E5:J5),"x","")</f>
        <v>x</v>
      </c>
      <c r="E5" s="15"/>
      <c r="F5" s="14" t="str">
        <f>IF(G5&amp;H5&amp;I5 &lt;&gt; "","x","")</f>
        <v/>
      </c>
      <c r="G5" s="15"/>
      <c r="H5" s="15"/>
      <c r="I5" s="15"/>
      <c r="J5" s="15"/>
    </row>
    <row r="6" spans="1:19" x14ac:dyDescent="0.25">
      <c r="A6" s="11" t="s">
        <v>5</v>
      </c>
      <c r="B6" s="12">
        <f>VLOOKUP(A6,'Windows Benutzer'!B$4:C$1000,2,FALSE)</f>
        <v>0</v>
      </c>
      <c r="C6" s="13"/>
      <c r="D6" s="14" t="str">
        <f>IF(keineBerechtigung(E6:J6),"x","")</f>
        <v>x</v>
      </c>
      <c r="E6" s="15"/>
      <c r="F6" s="14" t="str">
        <f t="shared" ref="F6:F34" si="0">IF(G6&amp;H6&amp;I6 &lt;&gt; "","x","")</f>
        <v/>
      </c>
      <c r="G6" s="15"/>
      <c r="H6" s="15"/>
      <c r="I6" s="15"/>
      <c r="J6" s="15"/>
    </row>
    <row r="7" spans="1:19" x14ac:dyDescent="0.25">
      <c r="A7" s="11" t="s">
        <v>7</v>
      </c>
      <c r="B7" s="12" t="str">
        <f>VLOOKUP(A7,'Windows Benutzer'!B$4:C$1000,2,FALSE)</f>
        <v>Automatiker Lehrlinge</v>
      </c>
      <c r="C7" s="13"/>
      <c r="D7" s="14" t="str">
        <f>IF(keineBerechtigung(E7:J7),"x","")</f>
        <v/>
      </c>
      <c r="E7" s="15" t="s">
        <v>51</v>
      </c>
      <c r="F7" s="14" t="str">
        <f t="shared" si="0"/>
        <v/>
      </c>
      <c r="G7" s="15"/>
      <c r="H7" s="15"/>
      <c r="I7" s="15"/>
      <c r="J7" s="15"/>
    </row>
    <row r="8" spans="1:19" x14ac:dyDescent="0.25">
      <c r="A8" s="11" t="s">
        <v>58</v>
      </c>
      <c r="B8" s="12" t="str">
        <f>VLOOKUP(A8,'Windows Benutzer'!B$4:C$1000,2,FALSE)</f>
        <v>BAK Rafal</v>
      </c>
      <c r="C8" s="13"/>
      <c r="D8" s="14" t="str">
        <f>IF(keineBerechtigung(E8:J8),"x","")</f>
        <v/>
      </c>
      <c r="E8" s="15"/>
      <c r="F8" s="14" t="str">
        <f t="shared" si="0"/>
        <v>x</v>
      </c>
      <c r="G8" s="15"/>
      <c r="H8" s="15" t="s">
        <v>51</v>
      </c>
      <c r="I8" s="15"/>
      <c r="J8" s="15"/>
    </row>
    <row r="9" spans="1:19" x14ac:dyDescent="0.25">
      <c r="A9" s="11" t="s">
        <v>61</v>
      </c>
      <c r="B9" s="12" t="str">
        <f>VLOOKUP(A9,'Windows Benutzer'!B$4:C$1000,2,FALSE)</f>
        <v>BAUMBERGER Peter</v>
      </c>
      <c r="C9" s="13"/>
      <c r="D9" s="14" t="str">
        <f>IF(keineBerechtigung(E9:J9),"x","")</f>
        <v/>
      </c>
      <c r="E9" s="15"/>
      <c r="F9" s="14" t="str">
        <f t="shared" si="0"/>
        <v>x</v>
      </c>
      <c r="G9" s="15" t="s">
        <v>51</v>
      </c>
      <c r="H9" s="15"/>
      <c r="I9" s="15"/>
      <c r="J9" s="15"/>
    </row>
    <row r="10" spans="1:19" x14ac:dyDescent="0.25">
      <c r="A10" s="11" t="s">
        <v>9</v>
      </c>
      <c r="B10" s="12" t="str">
        <f>VLOOKUP(A10,'Windows Benutzer'!B$4:C$1000,2,FALSE)</f>
        <v>Bossart C.</v>
      </c>
      <c r="C10" s="13"/>
      <c r="D10" s="14" t="str">
        <f>IF(keineBerechtigung(E10:J10),"x","")</f>
        <v/>
      </c>
      <c r="E10" s="15"/>
      <c r="F10" s="14" t="str">
        <f t="shared" si="0"/>
        <v>x</v>
      </c>
      <c r="G10" s="15"/>
      <c r="H10" s="15" t="s">
        <v>51</v>
      </c>
      <c r="I10" s="15"/>
      <c r="J10" s="15"/>
    </row>
    <row r="11" spans="1:19" x14ac:dyDescent="0.25">
      <c r="A11" s="11" t="s">
        <v>11</v>
      </c>
      <c r="B11" s="12" t="str">
        <f>VLOOKUP(A11,'Windows Benutzer'!B$4:C$1000,2,FALSE)</f>
        <v>Brunner D.</v>
      </c>
      <c r="C11" s="13"/>
      <c r="D11" s="14" t="str">
        <f>IF(keineBerechtigung(E11:J11),"x","")</f>
        <v/>
      </c>
      <c r="E11" s="15"/>
      <c r="F11" s="14" t="str">
        <f t="shared" si="0"/>
        <v>x</v>
      </c>
      <c r="G11" s="15"/>
      <c r="H11" s="15"/>
      <c r="I11" s="15" t="s">
        <v>51</v>
      </c>
      <c r="J11" s="15"/>
    </row>
    <row r="12" spans="1:19" x14ac:dyDescent="0.25">
      <c r="A12" s="11" t="s">
        <v>13</v>
      </c>
      <c r="B12" s="12" t="str">
        <f>VLOOKUP(A12,'Windows Benutzer'!B$4:C$1000,2,FALSE)</f>
        <v>Engel Ph.</v>
      </c>
      <c r="C12" s="13"/>
      <c r="D12" s="14" t="str">
        <f>IF(keineBerechtigung(E12:J12),"x","")</f>
        <v/>
      </c>
      <c r="E12" s="15" t="s">
        <v>51</v>
      </c>
      <c r="F12" s="14" t="str">
        <f t="shared" si="0"/>
        <v/>
      </c>
      <c r="G12" s="15"/>
      <c r="H12" s="15"/>
      <c r="I12" s="15"/>
      <c r="J12" s="15"/>
    </row>
    <row r="13" spans="1:19" x14ac:dyDescent="0.25">
      <c r="A13" s="11" t="s">
        <v>15</v>
      </c>
      <c r="B13" s="12" t="str">
        <f>VLOOKUP(A13,'Windows Benutzer'!B$4:C$1000,2,FALSE)</f>
        <v>Fisch C.</v>
      </c>
      <c r="C13" s="13"/>
      <c r="D13" s="14" t="str">
        <f>IF(keineBerechtigung(E13:J13),"x","")</f>
        <v>x</v>
      </c>
      <c r="E13" s="15"/>
      <c r="F13" s="14" t="str">
        <f t="shared" si="0"/>
        <v/>
      </c>
      <c r="G13" s="15"/>
      <c r="H13" s="15"/>
      <c r="I13" s="15"/>
      <c r="J13" s="15"/>
    </row>
    <row r="14" spans="1:19" x14ac:dyDescent="0.25">
      <c r="A14" s="11" t="s">
        <v>17</v>
      </c>
      <c r="B14" s="12" t="str">
        <f>VLOOKUP(A14,'Windows Benutzer'!B$4:C$1000,2,FALSE)</f>
        <v>Bucher Gre</v>
      </c>
      <c r="C14" s="13"/>
      <c r="D14" s="14" t="str">
        <f>IF(keineBerechtigung(E14:J14),"x","")</f>
        <v>x</v>
      </c>
      <c r="E14" s="15"/>
      <c r="F14" s="14" t="str">
        <f t="shared" si="0"/>
        <v/>
      </c>
      <c r="G14" s="15"/>
      <c r="H14" s="15"/>
      <c r="I14" s="15"/>
      <c r="J14" s="15"/>
    </row>
    <row r="15" spans="1:19" x14ac:dyDescent="0.25">
      <c r="A15" s="11" t="s">
        <v>20</v>
      </c>
      <c r="B15" s="12" t="str">
        <f>VLOOKUP(A15,'Windows Benutzer'!B$4:C$1000,2,FALSE)</f>
        <v>Gröber R.</v>
      </c>
      <c r="C15" s="13"/>
      <c r="D15" s="14" t="str">
        <f>IF(keineBerechtigung(E15:J15),"x","")</f>
        <v/>
      </c>
      <c r="E15" s="15"/>
      <c r="F15" s="14" t="str">
        <f t="shared" si="0"/>
        <v>x</v>
      </c>
      <c r="G15" s="15"/>
      <c r="H15" s="15"/>
      <c r="I15" s="15" t="s">
        <v>51</v>
      </c>
      <c r="J15" s="15"/>
    </row>
    <row r="16" spans="1:19" x14ac:dyDescent="0.25">
      <c r="A16" s="11" t="s">
        <v>22</v>
      </c>
      <c r="B16" s="12">
        <f>VLOOKUP(A16,'Windows Benutzer'!B$4:C$1000,2,FALSE)</f>
        <v>0</v>
      </c>
      <c r="C16" s="13"/>
      <c r="D16" s="14" t="str">
        <f>IF(keineBerechtigung(E16:J16),"x","")</f>
        <v>x</v>
      </c>
      <c r="E16" s="15"/>
      <c r="F16" s="14" t="str">
        <f t="shared" si="0"/>
        <v/>
      </c>
      <c r="G16" s="15"/>
      <c r="H16" s="15"/>
      <c r="I16" s="15"/>
      <c r="J16" s="15"/>
    </row>
    <row r="17" spans="1:10" x14ac:dyDescent="0.25">
      <c r="A17" s="11" t="s">
        <v>24</v>
      </c>
      <c r="B17" s="12" t="str">
        <f>VLOOKUP(A17,'Windows Benutzer'!B$4:C$1000,2,FALSE)</f>
        <v>Hell K</v>
      </c>
      <c r="C17" s="13"/>
      <c r="D17" s="14" t="str">
        <f>IF(keineBerechtigung(E17:J17),"x","")</f>
        <v/>
      </c>
      <c r="E17" s="15" t="s">
        <v>51</v>
      </c>
      <c r="F17" s="14" t="str">
        <f t="shared" si="0"/>
        <v/>
      </c>
      <c r="G17" s="15"/>
      <c r="H17" s="15"/>
      <c r="I17" s="15"/>
      <c r="J17" s="15"/>
    </row>
    <row r="18" spans="1:10" x14ac:dyDescent="0.25">
      <c r="A18" s="11" t="s">
        <v>26</v>
      </c>
      <c r="B18" s="12" t="str">
        <f>VLOOKUP(A18,'Windows Benutzer'!B$4:C$1000,2,FALSE)</f>
        <v>Hirzel N.</v>
      </c>
      <c r="C18" s="13"/>
      <c r="D18" s="14" t="str">
        <f>IF(keineBerechtigung(E18:J18),"x","")</f>
        <v>x</v>
      </c>
      <c r="E18" s="15"/>
      <c r="F18" s="14" t="str">
        <f t="shared" si="0"/>
        <v/>
      </c>
      <c r="G18" s="15"/>
      <c r="H18" s="15"/>
      <c r="I18" s="15"/>
      <c r="J18" s="15"/>
    </row>
    <row r="19" spans="1:10" x14ac:dyDescent="0.25">
      <c r="A19" s="11" t="s">
        <v>70</v>
      </c>
      <c r="B19" s="12" t="str">
        <f>VLOOKUP(A19,'Windows Benutzer'!B$4:C$1000,2,FALSE)</f>
        <v>Hirt Simon</v>
      </c>
      <c r="C19" s="13"/>
      <c r="D19" s="14" t="str">
        <f>IF(keineBerechtigung(E19:J19),"x","")</f>
        <v/>
      </c>
      <c r="E19" s="15" t="s">
        <v>51</v>
      </c>
      <c r="F19" s="14" t="str">
        <f t="shared" si="0"/>
        <v/>
      </c>
      <c r="G19" s="15"/>
      <c r="H19" s="15"/>
      <c r="I19" s="15"/>
      <c r="J19" s="15"/>
    </row>
    <row r="20" spans="1:10" x14ac:dyDescent="0.25">
      <c r="A20" s="11" t="s">
        <v>65</v>
      </c>
      <c r="B20" s="12" t="str">
        <f>VLOOKUP(A20,'Windows Benutzer'!B$4:C$1000,2,FALSE)</f>
        <v>Hediger Sandro</v>
      </c>
      <c r="C20" s="13"/>
      <c r="D20" s="14" t="str">
        <f>IF(keineBerechtigung(E20:J20),"x","")</f>
        <v/>
      </c>
      <c r="E20" s="15"/>
      <c r="F20" s="14" t="str">
        <f t="shared" si="0"/>
        <v/>
      </c>
      <c r="G20" s="15"/>
      <c r="H20" s="15"/>
      <c r="I20" s="15"/>
      <c r="J20" s="15" t="s">
        <v>51</v>
      </c>
    </row>
    <row r="21" spans="1:10" x14ac:dyDescent="0.25">
      <c r="A21" s="11" t="s">
        <v>57</v>
      </c>
      <c r="B21" s="12" t="str">
        <f>VLOOKUP(A21,'Windows Benutzer'!B$4:C$1000,2,FALSE)</f>
        <v>Imboden Pirmin</v>
      </c>
      <c r="C21" s="13"/>
      <c r="D21" s="14" t="str">
        <f>IF(keineBerechtigung(E21:J21),"x","")</f>
        <v/>
      </c>
      <c r="E21" s="15"/>
      <c r="F21" s="14" t="str">
        <f t="shared" si="0"/>
        <v>x</v>
      </c>
      <c r="G21" s="15"/>
      <c r="H21" s="15" t="s">
        <v>51</v>
      </c>
      <c r="I21" s="15"/>
      <c r="J21" s="15"/>
    </row>
    <row r="22" spans="1:10" x14ac:dyDescent="0.25">
      <c r="A22" s="11" t="s">
        <v>28</v>
      </c>
      <c r="B22" s="12" t="str">
        <f>VLOOKUP(A22,'Windows Benutzer'!B$4:C$1000,2,FALSE)</f>
        <v>Ingold Nadia</v>
      </c>
      <c r="C22" s="13"/>
      <c r="D22" s="14" t="str">
        <f>IF(keineBerechtigung(E22:J22),"x","")</f>
        <v/>
      </c>
      <c r="E22" s="15" t="s">
        <v>51</v>
      </c>
      <c r="F22" s="14" t="str">
        <f t="shared" si="0"/>
        <v/>
      </c>
      <c r="G22" s="15"/>
      <c r="H22" s="15"/>
      <c r="I22" s="15"/>
      <c r="J22" s="15"/>
    </row>
    <row r="23" spans="1:10" x14ac:dyDescent="0.25">
      <c r="A23" s="11" t="s">
        <v>29</v>
      </c>
      <c r="B23" s="12" t="str">
        <f>VLOOKUP(A23,'Windows Benutzer'!B$4:C$1000,2,FALSE)</f>
        <v>Kayser B.</v>
      </c>
      <c r="C23" s="13"/>
      <c r="D23" s="14" t="str">
        <f>IF(keineBerechtigung(E23:J23),"x","")</f>
        <v/>
      </c>
      <c r="E23" s="15" t="s">
        <v>51</v>
      </c>
      <c r="F23" s="14" t="str">
        <f t="shared" si="0"/>
        <v/>
      </c>
      <c r="G23" s="15"/>
      <c r="H23" s="15"/>
      <c r="I23" s="15"/>
      <c r="J23" s="15"/>
    </row>
    <row r="24" spans="1:10" x14ac:dyDescent="0.25">
      <c r="A24" s="11" t="s">
        <v>31</v>
      </c>
      <c r="B24" s="12" t="str">
        <f>VLOOKUP(A24,'Windows Benutzer'!B$4:C$1000,2,FALSE)</f>
        <v>Kister Samuel</v>
      </c>
      <c r="C24" s="13"/>
      <c r="D24" s="14" t="str">
        <f>IF(keineBerechtigung(E24:J24),"x","")</f>
        <v/>
      </c>
      <c r="E24" s="15" t="s">
        <v>51</v>
      </c>
      <c r="F24" s="14" t="str">
        <f t="shared" si="0"/>
        <v/>
      </c>
      <c r="G24" s="15"/>
      <c r="H24" s="15"/>
      <c r="I24" s="15"/>
      <c r="J24" s="15"/>
    </row>
    <row r="25" spans="1:10" x14ac:dyDescent="0.25">
      <c r="A25" s="11" t="s">
        <v>33</v>
      </c>
      <c r="B25" s="12" t="str">
        <f>VLOOKUP(A25,'Windows Benutzer'!B$4:C$1000,2,FALSE)</f>
        <v>Riccelli S.</v>
      </c>
      <c r="C25" s="13"/>
      <c r="D25" s="14" t="str">
        <f>IF(keineBerechtigung(E25:J25),"x","")</f>
        <v>x</v>
      </c>
      <c r="E25" s="15"/>
      <c r="F25" s="14" t="str">
        <f t="shared" si="0"/>
        <v/>
      </c>
      <c r="G25" s="15"/>
      <c r="H25" s="15"/>
      <c r="I25" s="15"/>
      <c r="J25" s="15"/>
    </row>
    <row r="26" spans="1:10" x14ac:dyDescent="0.25">
      <c r="A26" s="11" t="s">
        <v>53</v>
      </c>
      <c r="B26" s="12" t="str">
        <f>VLOOKUP(A26,'Windows Benutzer'!B$4:C$1000,2,FALSE)</f>
        <v>René Paolozzi</v>
      </c>
      <c r="C26" s="13"/>
      <c r="D26" s="14" t="str">
        <f>IF(keineBerechtigung(E26:J26),"x","")</f>
        <v/>
      </c>
      <c r="E26" s="15"/>
      <c r="F26" s="14" t="str">
        <f t="shared" si="0"/>
        <v>x</v>
      </c>
      <c r="G26" s="15"/>
      <c r="H26" s="15"/>
      <c r="I26" s="15" t="s">
        <v>51</v>
      </c>
      <c r="J26" s="15"/>
    </row>
    <row r="27" spans="1:10" x14ac:dyDescent="0.25">
      <c r="A27" s="11" t="s">
        <v>35</v>
      </c>
      <c r="B27" s="12" t="str">
        <f>VLOOKUP(A27,'Windows Benutzer'!B$4:C$1000,2,FALSE)</f>
        <v>Schär B.</v>
      </c>
      <c r="C27" s="13"/>
      <c r="D27" s="14" t="str">
        <f>IF(keineBerechtigung(E27:J27),"x","")</f>
        <v/>
      </c>
      <c r="E27" s="15" t="s">
        <v>51</v>
      </c>
      <c r="F27" s="14" t="str">
        <f t="shared" si="0"/>
        <v/>
      </c>
      <c r="G27" s="15"/>
      <c r="H27" s="15"/>
      <c r="I27" s="15"/>
      <c r="J27" s="15"/>
    </row>
    <row r="28" spans="1:10" x14ac:dyDescent="0.25">
      <c r="A28" s="11" t="s">
        <v>37</v>
      </c>
      <c r="B28" s="12" t="str">
        <f>VLOOKUP(A28,'Windows Benutzer'!B$4:C$1000,2,FALSE)</f>
        <v>Schuermann M</v>
      </c>
      <c r="C28" s="13"/>
      <c r="D28" s="14" t="str">
        <f>IF(keineBerechtigung(E28:J28),"x","")</f>
        <v/>
      </c>
      <c r="E28" s="15" t="s">
        <v>51</v>
      </c>
      <c r="F28" s="14" t="str">
        <f t="shared" si="0"/>
        <v/>
      </c>
      <c r="G28" s="15"/>
      <c r="H28" s="15"/>
      <c r="I28" s="15"/>
      <c r="J28" s="15"/>
    </row>
    <row r="29" spans="1:10" x14ac:dyDescent="0.25">
      <c r="A29" s="11" t="s">
        <v>39</v>
      </c>
      <c r="B29" s="12" t="str">
        <f>VLOOKUP(A29,'Windows Benutzer'!B$4:C$1000,2,FALSE)</f>
        <v>Schmutz Sandro</v>
      </c>
      <c r="C29" s="13"/>
      <c r="D29" s="14" t="str">
        <f>IF(keineBerechtigung(E29:J29),"x","")</f>
        <v/>
      </c>
      <c r="E29" s="15"/>
      <c r="F29" s="14" t="str">
        <f t="shared" si="0"/>
        <v>x</v>
      </c>
      <c r="G29" s="15"/>
      <c r="H29" s="15"/>
      <c r="I29" s="15" t="s">
        <v>51</v>
      </c>
      <c r="J29" s="15"/>
    </row>
    <row r="30" spans="1:10" x14ac:dyDescent="0.25">
      <c r="A30" s="11" t="s">
        <v>40</v>
      </c>
      <c r="B30" s="12" t="str">
        <f>VLOOKUP(A30,'Windows Benutzer'!B$4:C$1000,2,FALSE)</f>
        <v>Valentin Z.</v>
      </c>
      <c r="C30" s="13"/>
      <c r="D30" s="14" t="str">
        <f>IF(keineBerechtigung(E30:J30),"x","")</f>
        <v/>
      </c>
      <c r="E30" s="15"/>
      <c r="F30" s="14" t="str">
        <f t="shared" si="0"/>
        <v>x</v>
      </c>
      <c r="G30" s="15"/>
      <c r="H30" s="15" t="s">
        <v>51</v>
      </c>
      <c r="I30" s="15"/>
      <c r="J30" s="15"/>
    </row>
    <row r="31" spans="1:10" x14ac:dyDescent="0.25">
      <c r="A31" s="11" t="s">
        <v>42</v>
      </c>
      <c r="B31" s="12" t="str">
        <f>VLOOKUP(A31,'Windows Benutzer'!B$4:C$1000,2,FALSE)</f>
        <v>Vogel Urs</v>
      </c>
      <c r="C31" s="13"/>
      <c r="D31" s="14" t="str">
        <f>IF(keineBerechtigung(E31:J31),"x","")</f>
        <v/>
      </c>
      <c r="E31" s="15" t="s">
        <v>51</v>
      </c>
      <c r="F31" s="14" t="str">
        <f t="shared" si="0"/>
        <v/>
      </c>
      <c r="G31" s="15"/>
      <c r="H31" s="15"/>
      <c r="I31" s="15"/>
      <c r="J31" s="15"/>
    </row>
    <row r="32" spans="1:10" x14ac:dyDescent="0.25">
      <c r="A32" s="11" t="s">
        <v>43</v>
      </c>
      <c r="B32" s="12" t="str">
        <f>VLOOKUP(A32,'Windows Benutzer'!B$4:C$1000,2,FALSE)</f>
        <v>Wassmer Christian</v>
      </c>
      <c r="C32" s="13"/>
      <c r="D32" s="14" t="str">
        <f>IF(keineBerechtigung(E32:J32),"x","")</f>
        <v/>
      </c>
      <c r="E32" s="15" t="s">
        <v>51</v>
      </c>
      <c r="F32" s="14" t="str">
        <f t="shared" si="0"/>
        <v/>
      </c>
      <c r="G32" s="15"/>
      <c r="H32" s="15"/>
      <c r="I32" s="15"/>
      <c r="J32" s="15"/>
    </row>
    <row r="33" spans="1:10" x14ac:dyDescent="0.25">
      <c r="A33" s="11" t="s">
        <v>83</v>
      </c>
      <c r="B33" s="12" t="str">
        <f>VLOOKUP(A33,'Windows Benutzer'!B$4:C$1000,2,FALSE)</f>
        <v>Wlasak Bertram</v>
      </c>
      <c r="C33" s="13"/>
      <c r="D33" s="14" t="str">
        <f>IF(keineBerechtigung(E33:J33),"x","")</f>
        <v/>
      </c>
      <c r="E33" s="15"/>
      <c r="F33" s="14" t="str">
        <f t="shared" si="0"/>
        <v>x</v>
      </c>
      <c r="G33" s="15"/>
      <c r="H33" s="15"/>
      <c r="I33" s="15" t="s">
        <v>51</v>
      </c>
      <c r="J33" s="15"/>
    </row>
    <row r="34" spans="1:10" x14ac:dyDescent="0.25">
      <c r="A34" s="11"/>
      <c r="B34" s="12" t="e">
        <f>VLOOKUP(A34,'Windows Benutzer'!B$4:C$1000,2,FALSE)</f>
        <v>#N/A</v>
      </c>
      <c r="C34" s="13"/>
      <c r="D34" s="14" t="str">
        <f>IF(keineBerechtigung(E34:J34),"x","")</f>
        <v>x</v>
      </c>
      <c r="E34" s="15"/>
      <c r="F34" s="14" t="str">
        <f t="shared" si="0"/>
        <v/>
      </c>
      <c r="G34" s="15"/>
      <c r="H34" s="15"/>
      <c r="I34" s="15"/>
      <c r="J34" s="15"/>
    </row>
  </sheetData>
  <autoFilter ref="A4:J34"/>
  <sortState ref="A4:H43">
    <sortCondition ref="A4:A43"/>
  </sortState>
  <mergeCells count="3">
    <mergeCell ref="A1:H1"/>
    <mergeCell ref="A3:B3"/>
    <mergeCell ref="D2:J2"/>
  </mergeCells>
  <conditionalFormatting sqref="B5:B34">
    <cfRule type="containsErrors" dxfId="0" priority="1">
      <formula>ISERROR(B5)</formula>
    </cfRule>
  </conditionalFormatting>
  <pageMargins left="0.7" right="0.7" top="0.78740157499999996" bottom="0.78740157499999996" header="0.3" footer="0.3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nachZwischenspeicherKopieren" altText="Kopieren in Zwischenspeicher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Windows Benutzer</vt:lpstr>
      <vt:lpstr>EB Verwaltung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</dc:creator>
  <cp:lastModifiedBy>KSA</cp:lastModifiedBy>
  <cp:lastPrinted>2019-07-03T10:51:55Z</cp:lastPrinted>
  <dcterms:created xsi:type="dcterms:W3CDTF">2018-03-23T06:14:16Z</dcterms:created>
  <dcterms:modified xsi:type="dcterms:W3CDTF">2019-07-16T05:10:09Z</dcterms:modified>
</cp:coreProperties>
</file>